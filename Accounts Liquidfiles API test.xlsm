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SD\Service Desk\Staff\Oin\"/>
    </mc:Choice>
  </mc:AlternateContent>
  <xr:revisionPtr revIDLastSave="0" documentId="13_ncr:1_{A7E15ED9-627E-4CDF-AA52-E334EEB1FD5A}" xr6:coauthVersionLast="47" xr6:coauthVersionMax="47" xr10:uidLastSave="{00000000-0000-0000-0000-000000000000}"/>
  <bookViews>
    <workbookView xWindow="-120" yWindow="-120" windowWidth="29040" windowHeight="15720" activeTab="1" xr2:uid="{851F25FB-6483-43EC-80A5-87CB5B6704C2}"/>
  </bookViews>
  <sheets>
    <sheet name="Main" sheetId="1" r:id="rId1"/>
    <sheet name="List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" i="1" l="1"/>
  <c r="J3" i="1"/>
  <c r="E2" i="1"/>
  <c r="I2" i="1"/>
  <c r="G2" i="1" l="1"/>
  <c r="J4" i="1" s="1"/>
  <c r="K5" i="1"/>
  <c r="J5" i="1" s="1"/>
  <c r="J9" i="1" l="1"/>
  <c r="K13" i="1"/>
  <c r="J13" i="1" s="1"/>
  <c r="B2" i="1"/>
  <c r="F2" i="1"/>
  <c r="B19" i="1"/>
  <c r="J12" i="1" l="1"/>
  <c r="K2" i="1"/>
  <c r="K1" i="1"/>
  <c r="J8" i="1"/>
  <c r="C2" i="1"/>
  <c r="B20" i="1" s="1" a="1"/>
  <c r="B20" i="1" s="1"/>
  <c r="D2" i="1" l="1"/>
  <c r="J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<sst xmlns="http://schemas.openxmlformats.org/spreadsheetml/2006/main" count="68" uniqueCount="55">
  <si>
    <t>Name</t>
  </si>
  <si>
    <t>Bossnet</t>
  </si>
  <si>
    <t>EMR</t>
  </si>
  <si>
    <t>EMR Init</t>
  </si>
  <si>
    <t>EMR username</t>
  </si>
  <si>
    <t>First</t>
  </si>
  <si>
    <t>Last</t>
  </si>
  <si>
    <t>Email</t>
  </si>
  <si>
    <t>Bossnet:</t>
  </si>
  <si>
    <t>IPM</t>
  </si>
  <si>
    <t>IPM:</t>
  </si>
  <si>
    <t>First and last</t>
  </si>
  <si>
    <t>Site (Leave blank unless locum)</t>
  </si>
  <si>
    <t>Errors</t>
  </si>
  <si>
    <t>temp</t>
  </si>
  <si>
    <t>Spaces in name = 1</t>
  </si>
  <si>
    <t>Name Length &gt; 4</t>
  </si>
  <si>
    <t>Computer</t>
  </si>
  <si>
    <t>Password (From AD account creation)</t>
  </si>
  <si>
    <t>^ Put any text in, if you are creating that account. ^</t>
  </si>
  <si>
    <t>^2 If linked to exising AD</t>
  </si>
  <si>
    <t>Key</t>
  </si>
  <si>
    <t>Input</t>
  </si>
  <si>
    <t>Output</t>
  </si>
  <si>
    <t>Notes</t>
  </si>
  <si>
    <t>Copy paste from here</t>
  </si>
  <si>
    <t>Student</t>
  </si>
  <si>
    <t>ghass.ghassc.local</t>
  </si>
  <si>
    <t>AD Username Over-Ride</t>
  </si>
  <si>
    <t>EMR Username Length Over-Ride</t>
  </si>
  <si>
    <t>Service Request Number</t>
  </si>
  <si>
    <t>AD Username</t>
  </si>
  <si>
    <t>AD password</t>
  </si>
  <si>
    <t>Type</t>
  </si>
  <si>
    <t>Bossnet Username</t>
  </si>
  <si>
    <t>Bossnet Password</t>
  </si>
  <si>
    <t>IPM Username</t>
  </si>
  <si>
    <t>IPM Password</t>
  </si>
  <si>
    <t>Eoin Harrison</t>
  </si>
  <si>
    <t>Service request</t>
  </si>
  <si>
    <t>Send to Email</t>
  </si>
  <si>
    <t>eoin.harrison@gha.net.au</t>
  </si>
  <si>
    <t>Computer/EMR</t>
  </si>
  <si>
    <t>eoin.harrison</t>
  </si>
  <si>
    <t>Temporary2026</t>
  </si>
  <si>
    <t>Temporary123456</t>
  </si>
  <si>
    <t>Bossnet number</t>
  </si>
  <si>
    <t>GHAEHARR</t>
  </si>
  <si>
    <t>Comptuer only</t>
  </si>
  <si>
    <t>comptuer.only</t>
  </si>
  <si>
    <t>Computer andEMR</t>
  </si>
  <si>
    <t>Temporary1262</t>
  </si>
  <si>
    <t>computer.andemr</t>
  </si>
  <si>
    <t>EMR Locum</t>
  </si>
  <si>
    <t>emr.locum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</si>
</sst>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rgb="FF262626"/>
      <name val="Open Sans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1">
    <xf numFmtId="0" fontId="0" fillId="0" borderId="0" xfId="0"/>
    <xf numFmtId="0" fontId="2" fillId="3" borderId="1" xfId="2"/>
    <xf numFmtId="0" fontId="3" fillId="4" borderId="1" xfId="3"/>
    <xf numFmtId="0" fontId="4" fillId="0" borderId="0" xfId="4" quotePrefix="1"/>
    <xf numFmtId="0" fontId="1" fillId="2" borderId="0" xfId="1"/>
    <xf numFmtId="0" fontId="4" fillId="0" borderId="0" xfId="4"/>
    <xf numFmtId="0" fontId="5" fillId="0" borderId="0" xfId="0" applyFont="1"/>
    <xf numFmtId="0" fontId="0" fillId="0" borderId="0" xfId="0"/>
    <xf numFmtId="0" fontId="6" fillId="3" borderId="1" xfId="5" applyFill="1" applyBorder="1"/>
    <xf numFmtId="0" fontId="4" fillId="0" borderId="2" xfId="4" applyBorder="1" applyAlignment="1">
      <alignment horizontal="center"/>
    </xf>
    <xf numFmtId="0" fontId="4" fillId="0" borderId="3" xfId="4" applyBorder="1" applyAlignment="1">
      <alignment horizontal="center"/>
    </xf>
  </cellXfs>
  <cellStyles count="6">
    <cellStyle name="Calculation" xfId="3" builtinId="22"/>
    <cellStyle name="Explanatory Text" xfId="4" builtinId="53"/>
    <cellStyle name="Good" xfId="1" builtinId="26"/>
    <cellStyle name="Hyperlink" xfId="5" builtinId="8"/>
    <cellStyle name="Input" xfId="2" builtinId="20"/>
    <cellStyle name="Normal" xfId="0" builtinId="0"/>
  </cellStyles>
  <dxfs count="11">
    <dxf>
      <fill>
        <patternFill>
          <bgColor rgb="FF92D050"/>
        </patternFill>
      </fill>
    </dxf>
    <dxf>
      <font>
        <color rgb="FFFF0000"/>
      </font>
      <fill>
        <patternFill>
          <bgColor rgb="FF00B0F0"/>
        </patternFill>
      </fill>
    </dxf>
    <dxf>
      <font>
        <b/>
        <i val="0"/>
        <color rgb="FF92D050"/>
      </font>
      <fill>
        <patternFill>
          <bgColor rgb="FF7030A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C6EFCE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0</xdr:rowOff>
        </xdr:from>
        <xdr:to>
          <xdr:col>9</xdr:col>
          <xdr:colOff>2295525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document for EMR and Bossnet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4</xdr:row>
          <xdr:rowOff>133350</xdr:rowOff>
        </xdr:from>
        <xdr:to>
          <xdr:col>3</xdr:col>
          <xdr:colOff>76200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2333625</xdr:colOff>
          <xdr:row>13</xdr:row>
          <xdr:rowOff>190500</xdr:rowOff>
        </xdr:from>
        <xdr:to>
          <xdr:col>9</xdr:col>
          <xdr:colOff>4619625</xdr:colOff>
          <xdr:row>17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document for EMR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18</xdr:row>
          <xdr:rowOff>38100</xdr:rowOff>
        </xdr:from>
        <xdr:to>
          <xdr:col>9</xdr:col>
          <xdr:colOff>2295525</xdr:colOff>
          <xdr:row>22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document for IPM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oin.harrison@gha.net.au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29437-8180-4D56-842C-53F4EAA2666D}">
  <sheetPr codeName="Sheet1"/>
  <dimension ref="A1:K30"/>
  <sheetViews>
    <sheetView workbookViewId="0">
      <selection activeCell="J4" sqref="J4"/>
    </sheetView>
  </sheetViews>
  <sheetFormatPr defaultRowHeight="15" x14ac:dyDescent="0.25"/>
  <cols>
    <col min="1" max="1" width="29.28515625" bestFit="1" customWidth="1"/>
    <col min="2" max="3" width="12.85546875" customWidth="1"/>
    <col min="4" max="4" width="18.5703125" customWidth="1"/>
    <col min="5" max="5" width="18.5703125" style="7" customWidth="1"/>
    <col min="6" max="6" width="9.85546875" bestFit="1" customWidth="1"/>
    <col min="7" max="7" width="15.5703125" bestFit="1" customWidth="1"/>
    <col min="8" max="9" width="14.28515625" customWidth="1"/>
    <col min="10" max="10" width="69.42578125" bestFit="1" customWidth="1"/>
    <col min="11" max="11" width="18.28515625" bestFit="1" customWidth="1"/>
  </cols>
  <sheetData>
    <row r="1" spans="1:11" x14ac:dyDescent="0.25">
      <c r="A1" s="7" t="s">
        <v>0</v>
      </c>
      <c r="B1" t="s">
        <v>5</v>
      </c>
      <c r="C1" t="s">
        <v>6</v>
      </c>
      <c r="D1" t="s">
        <v>11</v>
      </c>
      <c r="E1" s="7" t="s">
        <v>31</v>
      </c>
      <c r="F1" t="s">
        <v>3</v>
      </c>
      <c r="G1" t="s">
        <v>4</v>
      </c>
      <c r="H1" t="s">
        <v>1</v>
      </c>
      <c r="I1" t="s">
        <v>9</v>
      </c>
      <c r="J1" t="s">
        <v>7</v>
      </c>
      <c r="K1" t="str">
        <f>IF(ISBLANK(D4),"","Subject")</f>
        <v/>
      </c>
    </row>
    <row r="2" spans="1:11" x14ac:dyDescent="0.25">
      <c r="A2" s="1"/>
      <c r="B2" s="2" t="str">
        <f>IFERROR(PROPER(LEFT(A2,FIND(" ",A2)-1)),"")</f>
        <v/>
      </c>
      <c r="C2" s="2" t="str">
        <f>IFERROR(PROPER(RIGHT(A2,LEN(A2)-FIND(" ",A2))),"")</f>
        <v/>
      </c>
      <c r="D2" s="2" t="str">
        <f>_xlfn.CONCAT(B2," ",C2)</f>
        <v xml:space="preserve"> </v>
      </c>
      <c r="E2" s="2" t="str">
        <f>IF(ISBLANK(A8),IFERROR(LOWER(_xlfn.CONCAT(LEFT(A2,FIND(" ",A2)-1),".",RIGHT(SUBSTITUTE(A2,"'",""),LEN(A2)-FIND(" ",A2)))),""),A8)</f>
        <v/>
      </c>
      <c r="F2" s="2" t="str">
        <f>IFERROR(UPPER(_xlfn.CONCAT(LEFT(A2,2),MID(SUBSTITUTE(A2,"'",""),FIND(" ",A2)+1,2))),"")</f>
        <v/>
      </c>
      <c r="G2" s="2" t="str">
        <f>IFERROR(UPPER(_xlfn.CONCAT(A6,LEFT(A2,IF(ISBLANK(A10),4,A10)),MID(SUBSTITUTE(A2,"'",""),FIND(" ",A2)+1,IF(ISBLANK(A10),4,8-A10)))),"")</f>
        <v/>
      </c>
      <c r="H2" s="2" t="str">
        <f>IFERROR(LOWER(_xlfn.CONCAT(LEFT(A2,FIND(" ",A2)-1),".",RIGHT(SUBSTITUTE(A2,"'",""),LEN(A2)-FIND(" ",A2)),A16)),"")</f>
        <v/>
      </c>
      <c r="I2" s="2" t="str">
        <f>IFERROR(UPPER(_xlfn.CONCAT("GHA",LEFT(A2),MID(A2,FIND(" ",A2)+1,4))),"")</f>
        <v/>
      </c>
      <c r="J2" s="2" t="str">
        <f>IF(ISBLANK(D4),_xlfn.CONCAT("I have created the account",IF(COUNTA($F$4:$I$4)&gt;1,"s","")," for ",$D$2,", please see the details attached."),_xlfn.CONCAT("Hi ",D2,",
Please see below details for your LRH accounts:
"))</f>
        <v>I have created the account for  , please see the details attached.</v>
      </c>
      <c r="K2" t="str">
        <f>IF(ISBLANK(D4),"","LRH account details")</f>
        <v/>
      </c>
    </row>
    <row r="3" spans="1:11" x14ac:dyDescent="0.25">
      <c r="A3" s="7" t="s">
        <v>18</v>
      </c>
      <c r="D3" t="s">
        <v>26</v>
      </c>
      <c r="E3" t="s">
        <v>17</v>
      </c>
      <c r="F3" t="s">
        <v>2</v>
      </c>
      <c r="G3" t="s">
        <v>1</v>
      </c>
      <c r="H3" t="s">
        <v>9</v>
      </c>
      <c r="J3" s="2" t="str">
        <f>_xlfn.CONCAT(IF(NOT(ISBLANK(E4)),"Computer",""),IF(COUNTA(E4:F4)=2,"/",""),IF(NOT(ISBLANK(F4)),"EMR",""),":")</f>
        <v>:</v>
      </c>
    </row>
    <row r="4" spans="1:11" x14ac:dyDescent="0.25">
      <c r="A4" s="1"/>
      <c r="D4" s="1"/>
      <c r="E4" s="1"/>
      <c r="F4" s="1"/>
      <c r="G4" s="1"/>
      <c r="H4" s="1"/>
      <c r="I4" s="7"/>
      <c r="J4" s="2" t="str">
        <f>_xlfn.CONCAT("Username: ",IF(ISBLANK(A8),IF(ISTEXT($A$6),$G$2,$E$2),UPPER(A8)))</f>
        <v xml:space="preserve">Username: </v>
      </c>
      <c r="K4" s="4" t="s">
        <v>27</v>
      </c>
    </row>
    <row r="5" spans="1:11" x14ac:dyDescent="0.25">
      <c r="A5" t="s">
        <v>12</v>
      </c>
      <c r="D5" s="9" t="s">
        <v>19</v>
      </c>
      <c r="E5" s="9"/>
      <c r="F5" s="9"/>
      <c r="G5" s="9"/>
      <c r="H5" s="9"/>
      <c r="I5" s="10"/>
      <c r="J5" s="2" t="str">
        <f ca="1">IF(F4=2,"The password is linked to their computer account.",_xlfn.CONCAT("Password: ",IF(ISBLANK($A$4),$K$5,$A$4)))</f>
        <v>Password: Temporary2026</v>
      </c>
      <c r="K5" s="4" t="str">
        <f ca="1" xml:space="preserve"> "Temporary" &amp; YEAR(NOW())</f>
        <v>Temporary2026</v>
      </c>
    </row>
    <row r="6" spans="1:11" x14ac:dyDescent="0.25">
      <c r="A6" s="1"/>
      <c r="F6" s="3" t="s">
        <v>20</v>
      </c>
    </row>
    <row r="7" spans="1:11" x14ac:dyDescent="0.25">
      <c r="A7" t="s">
        <v>28</v>
      </c>
      <c r="J7" s="2" t="s">
        <v>8</v>
      </c>
    </row>
    <row r="8" spans="1:11" x14ac:dyDescent="0.25">
      <c r="A8" s="1"/>
      <c r="J8" s="2" t="str">
        <f>_xlfn.CONCAT("Username: ",H2)</f>
        <v xml:space="preserve">Username: </v>
      </c>
    </row>
    <row r="9" spans="1:11" x14ac:dyDescent="0.25">
      <c r="A9" t="s">
        <v>29</v>
      </c>
      <c r="J9" s="2" t="str">
        <f xml:space="preserve"> "Password: " &amp;K9</f>
        <v>Password: temp</v>
      </c>
      <c r="K9" s="4" t="s">
        <v>14</v>
      </c>
    </row>
    <row r="10" spans="1:11" x14ac:dyDescent="0.25">
      <c r="A10" s="1"/>
    </row>
    <row r="11" spans="1:11" x14ac:dyDescent="0.25">
      <c r="A11" t="s">
        <v>30</v>
      </c>
      <c r="J11" s="2" t="s">
        <v>10</v>
      </c>
    </row>
    <row r="12" spans="1:11" ht="15.75" x14ac:dyDescent="0.3">
      <c r="A12" s="1"/>
      <c r="G12" s="6"/>
      <c r="J12" s="2" t="str">
        <f>_xlfn.CONCAT("Username: ",I2)</f>
        <v xml:space="preserve">Username: </v>
      </c>
    </row>
    <row r="13" spans="1:11" x14ac:dyDescent="0.25">
      <c r="A13" t="s">
        <v>40</v>
      </c>
      <c r="J13" s="2" t="str">
        <f ca="1" xml:space="preserve"> "Password: " &amp;K13</f>
        <v>Password: Temporary2026</v>
      </c>
      <c r="K13" s="4" t="str">
        <f ca="1" xml:space="preserve"> "Temporary" &amp; YEAR(NOW())</f>
        <v>Temporary2026</v>
      </c>
    </row>
    <row r="14" spans="1:11" x14ac:dyDescent="0.25">
      <c r="A14" s="8" t="s">
        <v>41</v>
      </c>
    </row>
    <row r="15" spans="1:11" x14ac:dyDescent="0.25">
      <c r="A15" t="s">
        <v>46</v>
      </c>
    </row>
    <row r="16" spans="1:11" x14ac:dyDescent="0.25">
      <c r="A16" s="1"/>
    </row>
    <row r="18" spans="1:10" x14ac:dyDescent="0.25">
      <c r="A18" t="s">
        <v>13</v>
      </c>
    </row>
    <row r="19" spans="1:10" ht="15.75" x14ac:dyDescent="0.3">
      <c r="A19" t="s">
        <v>15</v>
      </c>
      <c r="B19" t="str">
        <f>IF(ISBLANK(A2),"",IF(LEN(A2)-LEN(SUBSTITUTE(A2," ",""))&lt;&gt;1,"Failed","Passed"))</f>
        <v/>
      </c>
      <c r="G19" s="6"/>
    </row>
    <row r="20" spans="1:10" x14ac:dyDescent="0.25">
      <c r="A20" t="s">
        <v>16</v>
      </c>
      <c r="B20" t="str" cm="1">
        <f t="array" ref="B20">_xlfn.IFS(ISBLANK(A2),"",OR(A10&gt;8,A10&lt;0),"Over ride must be a number between 0 and 8, stop messing with things :)",AND(ISBLANK(A10),LEN(B2)&gt;=4,LEN(C2)&gt;=4),"Passed",AND(NOT(ISBLANK(A10)),LEN(B2)&gt;=A10,LEN(C2)&gt;=8-A10),"Override Successfull",AND(NOT(ISBLANK(A10)),LEN(B2)&gt;=4,LEN(C2)&gt;=4),"Override failed - Please Remove Override, default will work",NOT(ISBLANK(A10)),"Override failed - Try different override value, default will not work",LEN(B2)+LEN(C2)&gt;=8,"Failed, Try using Override",TRUE,"Oh no, this name is way to short, your on your own with this one")</f>
        <v/>
      </c>
    </row>
    <row r="23" spans="1:10" x14ac:dyDescent="0.25">
      <c r="A23" t="s">
        <v>21</v>
      </c>
    </row>
    <row r="24" spans="1:10" x14ac:dyDescent="0.25">
      <c r="A24" s="1" t="s">
        <v>22</v>
      </c>
    </row>
    <row r="25" spans="1:10" x14ac:dyDescent="0.25">
      <c r="A25" s="2" t="s">
        <v>23</v>
      </c>
    </row>
    <row r="26" spans="1:10" x14ac:dyDescent="0.25">
      <c r="A26" s="5" t="s">
        <v>24</v>
      </c>
    </row>
    <row r="27" spans="1:10" x14ac:dyDescent="0.25">
      <c r="A27" s="4" t="s">
        <v>25</v>
      </c>
      <c r="J27" s="7"/>
    </row>
    <row r="28" spans="1:10" x14ac:dyDescent="0.25">
      <c r="J28" s="7"/>
    </row>
    <row r="29" spans="1:10" x14ac:dyDescent="0.25">
      <c r="H29" s="7"/>
      <c r="J29" s="7"/>
    </row>
    <row r="30" spans="1:10" x14ac:dyDescent="0.25">
      <c r="J30" s="7"/>
    </row>
  </sheetData>
  <mergeCells count="1">
    <mergeCell ref="D5:I5"/>
  </mergeCells>
  <conditionalFormatting sqref="B19">
    <cfRule type="cellIs" dxfId="10" priority="8" operator="equal">
      <formula>""</formula>
    </cfRule>
    <cfRule type="cellIs" dxfId="9" priority="13" operator="notEqual">
      <formula>"Passed"</formula>
    </cfRule>
  </conditionalFormatting>
  <conditionalFormatting sqref="K2">
    <cfRule type="expression" dxfId="8" priority="9">
      <formula>$K$2&lt;&gt;""</formula>
    </cfRule>
  </conditionalFormatting>
  <conditionalFormatting sqref="A10">
    <cfRule type="cellIs" dxfId="7" priority="7" operator="notBetween">
      <formula>0</formula>
      <formula>8</formula>
    </cfRule>
  </conditionalFormatting>
  <conditionalFormatting sqref="B20">
    <cfRule type="cellIs" dxfId="6" priority="1" operator="equal">
      <formula>"Failed, Try using Override"</formula>
    </cfRule>
    <cfRule type="cellIs" dxfId="5" priority="2" operator="equal">
      <formula>"Override failed - Try different override value, default will not work"</formula>
    </cfRule>
    <cfRule type="cellIs" dxfId="4" priority="3" operator="equal">
      <formula>"Override failed - Please Remove Override, default will work"</formula>
    </cfRule>
    <cfRule type="cellIs" dxfId="3" priority="4" operator="equal">
      <formula>"Override Successfull"</formula>
    </cfRule>
    <cfRule type="cellIs" dxfId="2" priority="6" operator="equal">
      <formula>"Over ride must be a number between 0 and 8, stop messing with things :)"</formula>
    </cfRule>
    <cfRule type="cellIs" dxfId="1" priority="11" operator="equal">
      <formula>"Oh no, this name is way to short, your on your own with this one"</formula>
    </cfRule>
  </conditionalFormatting>
  <conditionalFormatting sqref="B19:B20">
    <cfRule type="cellIs" dxfId="0" priority="5" operator="equal">
      <formula>"Passed"</formula>
    </cfRule>
  </conditionalFormatting>
  <hyperlinks>
    <hyperlink ref="A14" r:id="rId1" xr:uid="{78367089-F6C0-468E-AE84-089A8274884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mrAndBossnet">
                <anchor moveWithCells="1" siz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9</xdr:col>
                    <xdr:colOff>2295525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learForm">
                <anchor moveWithCells="1" sizeWithCells="1">
                  <from>
                    <xdr:col>1</xdr:col>
                    <xdr:colOff>361950</xdr:colOff>
                    <xdr:row>4</xdr:row>
                    <xdr:rowOff>133350</xdr:rowOff>
                  </from>
                  <to>
                    <xdr:col>3</xdr:col>
                    <xdr:colOff>76200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JustEmr">
                <anchor moveWithCells="1" sizeWithCells="1">
                  <from>
                    <xdr:col>9</xdr:col>
                    <xdr:colOff>2333625</xdr:colOff>
                    <xdr:row>13</xdr:row>
                    <xdr:rowOff>190500</xdr:rowOff>
                  </from>
                  <to>
                    <xdr:col>9</xdr:col>
                    <xdr:colOff>4619625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JustIPM">
                <anchor moveWithCells="1" sizeWithCells="1">
                  <from>
                    <xdr:col>9</xdr:col>
                    <xdr:colOff>9525</xdr:colOff>
                    <xdr:row>18</xdr:row>
                    <xdr:rowOff>38100</xdr:rowOff>
                  </from>
                  <to>
                    <xdr:col>9</xdr:col>
                    <xdr:colOff>2295525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0C04F-6261-436C-8733-7413378CE425}">
  <sheetPr codeName="Sheet3"/>
  <dimension ref="A1:J5"/>
  <sheetViews>
    <sheetView tabSelected="1" workbookViewId="0">
      <selection activeCell="H11" sqref="H11"/>
    </sheetView>
  </sheetViews>
  <sheetFormatPr defaultRowHeight="15" x14ac:dyDescent="0.25"/>
  <cols>
    <col min="2" max="3" width="9.140625" style="7"/>
  </cols>
  <sheetData>
    <row r="1" spans="1:10" x14ac:dyDescent="0.25">
      <c r="A1" t="s">
        <v>0</v>
      </c>
      <c r="B1" s="7" t="s">
        <v>39</v>
      </c>
      <c r="C1" s="7" t="s">
        <v>7</v>
      </c>
      <c r="D1" t="s">
        <v>33</v>
      </c>
      <c r="E1" t="s">
        <v>31</v>
      </c>
      <c r="F1" t="s">
        <v>32</v>
      </c>
      <c r="G1" t="s">
        <v>34</v>
      </c>
      <c r="H1" t="s">
        <v>35</v>
      </c>
      <c r="I1" t="s">
        <v>36</v>
      </c>
      <c r="J1" t="s">
        <v>37</v>
      </c>
    </row>
    <row r="2" spans="1:10" x14ac:dyDescent="0.25">
      <c r="A2" t="s">
        <v>38</v>
      </c>
      <c r="B2" s="7">
        <v>15</v>
      </c>
      <c r="C2" s="7" t="s">
        <v>41</v>
      </c>
      <c r="G2" t="s">
        <v>43</v>
      </c>
      <c r="H2" t="s">
        <v>14</v>
      </c>
      <c r="I2" t="s">
        <v>47</v>
      </c>
      <c r="J2" t="s">
        <v>44</v>
      </c>
    </row>
    <row r="3" spans="1:10" x14ac:dyDescent="0.25">
      <c r="A3" t="s">
        <v>48</v>
      </c>
      <c r="B3" s="7">
        <v>15</v>
      </c>
      <c r="C3" s="7" t="s">
        <v>41</v>
      </c>
      <c r="D3" t="s">
        <v>17</v>
      </c>
      <c r="E3" t="s">
        <v>49</v>
      </c>
      <c r="F3" t="s">
        <v>45</v>
      </c>
    </row>
    <row r="4" spans="1:10" x14ac:dyDescent="0.25">
      <c r="A4" t="s">
        <v>50</v>
      </c>
      <c r="B4" s="7">
        <v>15</v>
      </c>
      <c r="C4" s="7" t="s">
        <v>41</v>
      </c>
      <c r="D4" t="s">
        <v>42</v>
      </c>
      <c r="E4" t="s">
        <v>52</v>
      </c>
      <c r="F4" t="s">
        <v>51</v>
      </c>
    </row>
    <row r="5" spans="1:10" x14ac:dyDescent="0.25">
      <c r="A5" t="s">
        <v>53</v>
      </c>
      <c r="B5" s="7">
        <v>15</v>
      </c>
      <c r="C5" s="7" t="s">
        <v>41</v>
      </c>
      <c r="D5" t="s">
        <v>2</v>
      </c>
      <c r="E5" t="s">
        <v>54</v>
      </c>
      <c r="F5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Eoin Harrison</dc:creator>
  <cp:lastModifiedBy>Eoin Harrison</cp:lastModifiedBy>
  <dcterms:created xsi:type="dcterms:W3CDTF">2024-08-10T05:20:39Z</dcterms:created>
  <dcterms:modified xsi:type="dcterms:W3CDTF">2026-03-12T04:13:35Z</dcterms:modified>
</cp:coreProperties>
</file>